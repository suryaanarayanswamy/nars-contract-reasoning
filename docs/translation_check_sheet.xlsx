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Summary" sheetId="2" state="visible" r:id="rId4"/>
    <sheet name="Clause check" sheetId="3" state="visible" r:id="rId5"/>
    <sheet name="Hypothesis check" sheetId="4" state="visible" r:id="rId6"/>
  </sheets>
  <definedNames>
    <definedName function="false" hidden="true" localSheetId="2" name="_xlnm._FilterDatabase" vbProcedure="false">'Clause check'!$A$1:$P$35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<sst xmlns="http://schemas.openxmlformats.org/spreadsheetml/2006/main" count="274" uniqueCount="168">
  <si>
    <t xml:space="preserve">Translation check sheet (dev15, 14 contract passages)</t>
  </si>
  <si>
    <t xml:space="preserve">Purpose: measure whether each contract clause was translated WITHOUT loss or change of meaning. This is separate from the final label (Entailment / Contradiction / NotMentioned).</t>
  </si>
  <si>
    <t xml:space="preserve">How to fill 'Clause check' (one row per translated clause):</t>
  </si>
  <si>
    <t xml:space="preserve">1. Read column D (the original contract wording, copied exactly) and column E (the translation, read back in plain English).</t>
  </si>
  <si>
    <t xml:space="preserve">2. In the yellow columns F to M choose Y (correct), N (wrong or missing) or NA (does not apply to this clause). Dropdowns are provided.</t>
  </si>
  <si>
    <t xml:space="preserve">   F Force: obligation / prohibition / permission / definition is right. Watch for 'shall not' vs 'may not' vs 'not required'.</t>
  </si>
  <si>
    <t xml:space="preserve">   G Actor: the right party does or is bound (Receiving vs Disclosing Party).</t>
  </si>
  <si>
    <t xml:space="preserve">   H Action: the verb is kept, including every alternative verb (copy, reprint, disseminate...).</t>
  </si>
  <si>
    <t xml:space="preserve">   I Object and slots: what is acted on, to whom, for what purpose, how, when, where.</t>
  </si>
  <si>
    <t xml:space="preserve">   J Conditions: every 'if / provided that / upon / in case' is kept, and OR stays OR, AND stays AND.</t>
  </si>
  <si>
    <t xml:space="preserve">   K Exceptions: every 'except / unless / without / save' is kept and attached to the right clause.</t>
  </si>
  <si>
    <t xml:space="preserve">   L Nothing lost: no meaning of the original is missing from the translation.</t>
  </si>
  <si>
    <t xml:space="preserve">   M Nothing added: the translation says nothing the original does not say.</t>
  </si>
  <si>
    <t xml:space="preserve">3. Column N turns to OK or FIX by itself. Put anything odd in column O.</t>
  </si>
  <si>
    <t xml:space="preserve">4. 'Summary' fills in by itself: the share of Y per dimension, and how many clauses are fully correct.</t>
  </si>
  <si>
    <t xml:space="preserve">5. Also fill 'Hypothesis check': the same test for the claim being tested (columns E to K, yellow).</t>
  </si>
  <si>
    <t xml:space="preserve">Worked example (made up, not from the data) of how to judge:</t>
  </si>
  <si>
    <t xml:space="preserve">   Original: 'The Receiving Party shall not disclose the Information to any third party without written consent.'</t>
  </si>
  <si>
    <t xml:space="preserve">   Translation: 'Receiving Party MUST NOT disclose | object: Information | recipient: any third party -- UNLESS written consent'  -&gt;  all Y.</t>
  </si>
  <si>
    <t xml:space="preserve">   If the translation said 'MAY disclose', Force = N. If 'written' were missing from the exception, Nothing lost = N.</t>
  </si>
  <si>
    <t xml:space="preserve">Source of the data: dev15_a3_results.json (the 14-row development run). Clause text and translations are produced by the pipeline; nothing here was edited.</t>
  </si>
  <si>
    <t xml:space="preserve">Translation accuracy summary (fills in as you tick)</t>
  </si>
  <si>
    <t xml:space="preserve">Dimension</t>
  </si>
  <si>
    <t xml:space="preserve">Y</t>
  </si>
  <si>
    <t xml:space="preserve">N</t>
  </si>
  <si>
    <t xml:space="preserve">Judged (Y+N)</t>
  </si>
  <si>
    <t xml:space="preserve">% correct</t>
  </si>
  <si>
    <t xml:space="preserve">Force</t>
  </si>
  <si>
    <t xml:space="preserve">Actor</t>
  </si>
  <si>
    <t xml:space="preserve">Action</t>
  </si>
  <si>
    <t xml:space="preserve">Object &amp; slots</t>
  </si>
  <si>
    <t xml:space="preserve">Conditions</t>
  </si>
  <si>
    <t xml:space="preserve">Exceptions</t>
  </si>
  <si>
    <t xml:space="preserve">Nothing lost</t>
  </si>
  <si>
    <t xml:space="preserve">Nothing added</t>
  </si>
  <si>
    <t xml:space="preserve">Clauses in the sheet</t>
  </si>
  <si>
    <t xml:space="preserve">Clauses fully judged</t>
  </si>
  <si>
    <t xml:space="preserve">Clauses with every judged box Y/NA (OK)</t>
  </si>
  <si>
    <t xml:space="preserve">Clause-level translation accuracy</t>
  </si>
  <si>
    <t xml:space="preserve">Hypotheses fully judged</t>
  </si>
  <si>
    <t xml:space="preserve">Hypotheses translated correctly (OK)</t>
  </si>
  <si>
    <t xml:space="preserve">Hypothesis translation accuracy</t>
  </si>
  <si>
    <t xml:space="preserve">Note: a clause counts as OK only if none of its judged boxes is N. Leave a box blank only while reviewing; blank clauses are not counted.</t>
  </si>
  <si>
    <t xml:space="preserve">Row</t>
  </si>
  <si>
    <t xml:space="preserve">Clause #</t>
  </si>
  <si>
    <t xml:space="preserve">Hypothesis being tested</t>
  </si>
  <si>
    <t xml:space="preserve">Original contract wording (exact)</t>
  </si>
  <si>
    <t xml:space="preserve">Translation, read back in English</t>
  </si>
  <si>
    <t xml:space="preserve">Result</t>
  </si>
  <si>
    <t xml:space="preserve">Reviewer notes</t>
  </si>
  <si>
    <t xml:space="preserve">Checker flags (automatic)</t>
  </si>
  <si>
    <t xml:space="preserve">ret_1</t>
  </si>
  <si>
    <t xml:space="preserve">Receiving Party may independently develop information similar to Confidential Information.</t>
  </si>
  <si>
    <t xml:space="preserve">Confidential Information does not include information, which is shown by clear and convincing evidence to be (iv) independently developed by the receiving Party</t>
  </si>
  <si>
    <t xml:space="preserve">confidential info ("Confidential Information") EXCLUDES: "information, which is shown by clear and convincing evidence to be (iv) independently developed by the receiving Party"  [detail: "shown by clear and convincing evidence"]</t>
  </si>
  <si>
    <t xml:space="preserve">ret_15</t>
  </si>
  <si>
    <t xml:space="preserve">Receiving Party may share some Confidential Information with some third-parties (including consultants, agents and professional advisors).</t>
  </si>
  <si>
    <t xml:space="preserve">ListFusion will not use any 3rd party agents, vendors, or other providers to process the List without the written authorization by Raphael</t>
  </si>
  <si>
    <t xml:space="preserve">receiving party ("ListFusion") MUST NOT ("will not use"): use | object: "any 3rd party agents" | purpose: "to process the List"  ;  use | object: "vendors" | purpose: "to process the List"  ;  use | object: "other providers" | purpose: "to process the List"  -- UNLESS [without the written authorization by Raphael]</t>
  </si>
  <si>
    <t xml:space="preserve">ListFusion will not create, generate, distribute, or convey to any 3rd party a username or password without prior written authorization by Raphael</t>
  </si>
  <si>
    <t xml:space="preserve">receiving party ("ListFusion") MUST NOT ("will not create, generate, distribute, or convey"): create | object: "a username or password" | recipient: "to any 3rd party"  ;  generate | object: "a username or password" | recipient: "to any 3rd party"  ;  distribute | object: "a username or password" | recipient: "to any 3rd party"  ;  convey | object: "a username or password" | recipient: "to any 3rd party"  -- UNLESS [without prior written authorization by Raphael]</t>
  </si>
  <si>
    <t xml:space="preserve">ret_22</t>
  </si>
  <si>
    <t xml:space="preserve">Receiving Party may acquire information similar to Confidential Information from a third party.</t>
  </si>
  <si>
    <t xml:space="preserve">the receiving Party shall have no obligations or restrictions with respect to any Proprietary Information which that receiving Party can prove: (c) has been lawfully received from a third party without restrictions or breach of this Agreement</t>
  </si>
  <si>
    <t xml:space="preserve">receiving party ("the receiving Party") MAY ("shall have no obligations or restrictions with respect to"): handle | object: "any Proprietary Information"  -- ONLY IF ([which that receiving Party can prove] AND [has been lawfully received from a third party] AND [without restrictions] AND [without breach of this Agreement])  -- UNLESS [Except as aforementioned]</t>
  </si>
  <si>
    <t xml:space="preserve">ungrounded_slot: handle; modality_mismatch: permission, but wording says 'shall'</t>
  </si>
  <si>
    <t xml:space="preserve">ret_28</t>
  </si>
  <si>
    <t xml:space="preserve">Confidential Information may include verbally conveyed information.</t>
  </si>
  <si>
    <t xml:space="preserve">The Receiving Party agrees to treat all information provided by the Providing Party in connection with the Business Under Discussion to the Receiving Partner and/or any of its partners, directors, officers, employees, affiliates, insurers, agents, advisors or auditors (the "Representatives"), regardless of the manner in which it is so furnished, together with any analyses, compilations, data, studies or other documents or records, whether of an oral, written or electronically retrievable nature (collectively the "Information"), as strictly confidential</t>
  </si>
  <si>
    <t xml:space="preserve">receiving party ("the Receiving Party") MUST ("agrees to"): treat | object: "all information provided by the Providing Party in connection with the Business Under Discussion to the Receiving Partner and/or any of its partners, directors, officers, employees, affiliates, insurers, agents, advisors or auditors (the "Representatives"), regardless of the manner in which it is so furnished, together with any analyses, compilations, data, studies or other documents or records, whether of an oral, written or electronically retrievable nature (collectively the "Information")" | manner: "as strictly confidential"  [definition: "collectively the "Information""]</t>
  </si>
  <si>
    <t xml:space="preserve">statement_incomplete: words of this statement's own quote that none of its fields carry: receiving par; inferred_statement: meaning is implied rather than stated; a human should confirm</t>
  </si>
  <si>
    <t xml:space="preserve">all information provided by the Providing Party in connection with the Business Under Discussion to the Receiving Partner and/or any of its partners, directors, officers, employees, affiliates, insurers, agents, advisors or auditors (the "Representatives"), regardless of the manner in which it is so furnished, together with any analyses, compilations, data, studies or other documents or records, whether of an oral, written or electronically retrievable nature (collectively the "Information")</t>
  </si>
  <si>
    <t xml:space="preserve">confidential info ("the "Information"") INCLUDES: "all information provided by the Providing Party in connection with the Business Under Discussion", "any analyses, compilations, data, studies or other documents or records"  [scope: "regardless of the manner in which it is so furnished"; scope: "whether of an oral, written or electronically retrievable nature"]</t>
  </si>
  <si>
    <t xml:space="preserve">ret_32</t>
  </si>
  <si>
    <t xml:space="preserve">Receiving Party shall carefully restrict access to Confidential Information to employees, contractors and third parties as is reasonably required</t>
  </si>
  <si>
    <t xml:space="preserve">receiving party ("Receiving Party") MUST ("shall"): restrict | object: "access to Confidential Information" | recipient: "employees, contractors and third parties" | manner: "carefully"  -- ONLY IF [as is reasonably required]</t>
  </si>
  <si>
    <t xml:space="preserve">shall require those persons to sign nondisclosure restrictions at least as protective as those in this Agreement</t>
  </si>
  <si>
    <t xml:space="preserve">receiving party ("Receiving Party") MUST ("shall require"): require | object: "those persons to sign nondisclosure restrictions" | manner: "at least as protective as those in this Agreement"</t>
  </si>
  <si>
    <t xml:space="preserve">ret_37</t>
  </si>
  <si>
    <t xml:space="preserve">The definition of Information shall not include information that: (d) is or has been lawfully disclosed by a third Party to the Receiving Party without an obligation of confidentiality</t>
  </si>
  <si>
    <t xml:space="preserve">confidential info ("Information") EXCLUDES: "information that: (d) is or has been lawfully disclosed by a third Party to the Receiving Party without an obligation of confidentiality"  [detail: "definition"]</t>
  </si>
  <si>
    <t xml:space="preserve">statement_incomplete: words of this statement's own quote that none of its fields carry: third party; inferred_statement: meaning is implied rather than stated; a human should confirm; verifier_added: Receiving Party MAY disclose -- The passage does not state that the Receiving Pa</t>
  </si>
  <si>
    <t xml:space="preserve">is or has been lawfully disclosed by a third Party to the Receiving Party without an obligation of confidentiality</t>
  </si>
  <si>
    <t xml:space="preserve">receiving party ("Receiving Party") MAY ("is or has been lawfully disclosed"): receive ("disclosed") | object: "information" | source: "a third Party"  -- UNLESS [without an obligation of confidentiality]</t>
  </si>
  <si>
    <t xml:space="preserve">receiving party ("Receiving Party") MAY ("is or has been lawfully disclosed"): disclose ("disclosed") | object: "information" | recipient: "Receiving Party"  -- UNLESS [without an obligation of confidentiality]</t>
  </si>
  <si>
    <t xml:space="preserve">ret_41</t>
  </si>
  <si>
    <t xml:space="preserve">Receiving Party may retain some Confidential Information even after the return or destruction of Confidential Information.</t>
  </si>
  <si>
    <t xml:space="preserve">Immediately upon the written request by the Disclosing Party at any time, the Receiving Party will return to the Disclosing Party all Proprietary Information and all documents or media containing any such Proprietary Information and any and all copies or extracts thereof</t>
  </si>
  <si>
    <t xml:space="preserve">receiving party ("the Receiving Party") MUST ("will"): return | object: "all Proprietary Information" | recipient: "to the Disclosing Party" | time: "Immediately upon the written request by the Disclosing Party at any time"  ;  return | object: "all documents or media containing any such Proprietary Information" | recipient: "to the Disclosing Party" | time: "Immediately upon the written request by the Disclosing Party at any time"  ;  return | object: "any and all copies or extracts thereof" | recipient: "to the Disclosing Party" | time: "Immediately upon the written request by the Disclosing Party at any time"  -- UNLESS [save that where such Proprietary Information is a form incapable of return] OR [or has been copied or transcribed into another document]</t>
  </si>
  <si>
    <t xml:space="preserve">statement_incomplete: words of this statement's own quote that none of its fields carry: appropriate; unrepresented_words: content words not in any slot: appropriate</t>
  </si>
  <si>
    <t xml:space="preserve">it shall be destroyed or erased, as appropriate</t>
  </si>
  <si>
    <t xml:space="preserve">receiving party ("the Receiving Party") MUST ("shall"): destroy ("destroyed") | object: "it"  ;  erase ("erased") | object: "it"  -- UNLESS [save that where such Proprietary Information is a form incapable of return] OR [or has been copied or transcribed into another document]</t>
  </si>
  <si>
    <t xml:space="preserve">ret_56</t>
  </si>
  <si>
    <t xml:space="preserve">Neither party shall be required to keep confidential any information which is, or becomes, publicly available</t>
  </si>
  <si>
    <t xml:space="preserve">both parties ("Neither party") MAY ("shall be required to"): keep | object: "any information which is, or becomes, publicly available" | manner: "confidential"</t>
  </si>
  <si>
    <t xml:space="preserve">inferred_statement: meaning is implied rather than stated; a human should confirm</t>
  </si>
  <si>
    <t xml:space="preserve">Neither party shall be required to keep confidential any information which ... is independently developed by either party outside the scope of this agreement</t>
  </si>
  <si>
    <t xml:space="preserve">both parties ("Neither party") MAY ("shall be required to"): keep | object: "any information which ... is independently developed by either party outside the scope of this agreement" | manner: "confidential"</t>
  </si>
  <si>
    <t xml:space="preserve">Neither party shall be required to keep confidential any information which ... is rightfully obtained from third parties</t>
  </si>
  <si>
    <t xml:space="preserve">both parties ("Neither party") MAY ("shall be required to"): keep | object: "any information which ... is rightfully obtained from third parties" | manner: "confidential"</t>
  </si>
  <si>
    <t xml:space="preserve">is independently developed by either party outside the scope of this agreement</t>
  </si>
  <si>
    <t xml:space="preserve">both parties ("either party") MAY ("is independently developed"): develop ("developed") | object: "information" | manner: "independently" | place: "outside the scope of this agreement"</t>
  </si>
  <si>
    <t xml:space="preserve">is rightfully obtained from third parties</t>
  </si>
  <si>
    <t xml:space="preserve">both parties ("either party") MAY ("is rightfully obtained"): obtain ("obtained") | object: "information" | source: "from third parties"</t>
  </si>
  <si>
    <t xml:space="preserve">ret_3</t>
  </si>
  <si>
    <t xml:space="preserve">Confidential Information shall only include technical information.</t>
  </si>
  <si>
    <t xml:space="preserve">The Parties acknowledge that each owns certain CONFIDENTIAL INFORMATION</t>
  </si>
  <si>
    <t xml:space="preserve">both parties ("The Parties") STATES ("acknowledge"): own ("owns") | object: "certain CONFIDENTIAL INFORMATION"</t>
  </si>
  <si>
    <t xml:space="preserve">statement_incomplete: words of this statement's own quote that none of its fields carry: used agreemen; unrepresented_words: content words not in any slot: used agreement</t>
  </si>
  <si>
    <t xml:space="preserve">CONFIDENTIAL INFORMATION, as defined herein, which might relate to the inventions, conceptions, ideas, know-how, discoveries, processes, machines, manufactures, compositions of matter, formulations, processes, biological material, biological methods, or any improvements thereof, whether or not patentable or suitable for other form of exclusive right or legal protection, conceived, made or derived during the course of Work within the Project under this JRA</t>
  </si>
  <si>
    <t xml:space="preserve">confidential info ("CONFIDENTIAL INFORMATION") INCLUDES: "inventions", "conceptions", "ideas", "know-how", "discoveries", "processes", "machines", "manufactures", "compositions of matter", "formulations", "biological material", "biological methods", "any improvements thereof"  [definition: "whether or not patentable or suitable for other form of exclusive right or legal protection"; scope: "conceived, made or derived during the course of Work within the Project under this JRA"]  -- ONLY IF [might relate to the inventions, conceptions, ideas, know-how, discoveries, processes, machines, manufactures, compositions of matter, formulations, processes, biological material, biological methods, or any improvements thereof]</t>
  </si>
  <si>
    <t xml:space="preserve">"CONFIDENTIAL INFORMATION" as used in this Agreement means all technical or business information disclosed by one of the Parties to another pursuant to the JRA that is identified at the time of disclosure or within thirty (30) days thereafter as being confidential and proprietary</t>
  </si>
  <si>
    <t xml:space="preserve">confidential info ("CONFIDENTIAL INFORMATION") INCLUDES (exhaustive): "all technical or business information"  [scope: "disclosed by one of the Parties to another pursuant to the JRA"; definition: "that is identified at the time of disclosure or within thirty (30) days thereafter as being confidential and proprietary"]</t>
  </si>
  <si>
    <t xml:space="preserve">ret_7</t>
  </si>
  <si>
    <t xml:space="preserve">The term "Confidential Information" as used herein means all trade secrets or confidential or proprietary information of either party, whether or not marked "Confidential", whether in written or oral form, relating to such party's business or technology, including without limitation, its products, customer data, development and marketing plans, and financial information</t>
  </si>
  <si>
    <t xml:space="preserve">confidential info ("Confidential Information") INCLUDES: "all trade secrets", "confidential or proprietary information of either party", "products", "customer data", "development and marketing plans", "financial information"  [definition: "The term "Confidential Information" as used herein"; scope: "whether or not marked "Confidential", whether in written or oral form, relating to such party's business or technology, including without limitation"]</t>
  </si>
  <si>
    <t xml:space="preserve">ret_16</t>
  </si>
  <si>
    <t xml:space="preserve">"Confidential Information" includes, but is not limited to prototypes, trade secrets, intellectual property, information, technical data, research, products, software, services, development, macros, source code, unreleased software, inventions, ideas, processes, designs, drawings, engineering, marketing, markets, customer information, business plans, business policies or practices, forecasts or financial information, team process, design process, part supply, pricing, development process and procedures, disclosed by Party One and Party Two under this Agreement which at the time of disclosure is designated as confidential (or like designation), is disclosed in circumstances of confidence, or would be understood by the parties, exercising reasonable business judgment, to be confidential</t>
  </si>
  <si>
    <t xml:space="preserve">confidential info ("Confidential Information") INCLUDES: "prototypes", "trade secrets", "intellectual property", "information", "technical data", "research", "products", "software", "services", "development", "macros", "source code", "unreleased software", "inventions", "ideas", "processes", "designs", "drawings", "engineering", "marketing", "markets", "customer information", "business plans", "business policies or practices", "forecasts or financial information", "team process", "design process", "part supply", "pricing", "development process and procedures"  -- ONLY IF ([at the time of disclosure is designated as confidential (or like designation)] OR [is disclosed in circumstances of confidence] OR [would be understood by the parties, exercising reasonable business judgment, to be confidential])</t>
  </si>
  <si>
    <t xml:space="preserve">ungrounded_slot: ConfidentialBusinessInformation; statement_incomplete: words of this statement's own quote that none of its fields carry: confidential ; unrepresented_words: content words not in any slot: confidential business information party two inclu</t>
  </si>
  <si>
    <t xml:space="preserve">The confidential business information which is to be provided by Party One to Party Two is the sole property of Party One, including but not limited to; financial information, printed material, marketing brochures and literature, photographs, videos, plans, methods, policies and strategies; insofar as the same are and remain confidential business information of Party One not generally known or available to the public</t>
  </si>
  <si>
    <t xml:space="preserve">disclosing party ("Party One") STATES ("is the sole property of"): provide | object: "ConfidentialBusinessInformation"  -- ONLY IF ([remain confidential business information of Party One] AND [not generally known or available to the public])</t>
  </si>
  <si>
    <t xml:space="preserve">ret_5</t>
  </si>
  <si>
    <t xml:space="preserve">Receiving Party shall notify Disclosing Party in case Receiving Party is required by law, regulation or judicial process to disclose any Confidential Information.</t>
  </si>
  <si>
    <t xml:space="preserve">The obligations in Clause 5.1 shall not apply for Confidential Information that: 5.2.4. is required to be disclosed by law, regulation or any competent governmental, judicial or regulatory authority, or by a recognized stock exchange, or in response to a request from a regulatory body with a supervisory role over Recipient or any of its Affiliates</t>
  </si>
  <si>
    <t xml:space="preserve">receiving party ("Recipient") MAY ("shall not apply for"): disclose ("disclosed") | object: "Confidential Information" | source: "law, regulation or any competent governmental, judicial or regulatory authority, or by a recognized stock exchange, or in response to a request from a regulatory body with a supervisory role over Recipient or any of its Affiliates"  -- ONLY IF [The obligations in Clause 5.1]</t>
  </si>
  <si>
    <t xml:space="preserve">statement_incomplete: words of this statement's own quote that none of its fields carry: required; unrepresented_words: content words not in any slot: case representative case</t>
  </si>
  <si>
    <t xml:space="preserve">is required to be disclosed by law, regulation or any competent governmental, judicial or regulatory authority, or by a recognized stock exchange, or in response to a request from a regulatory body with a supervisory role over Recipient or any of its Affiliates</t>
  </si>
  <si>
    <t xml:space="preserve">receiving party ("Recipient") STATES ("is required to be disclosed"): disclose ("disclosed") | object: "Confidential Information" | source: "law, regulation or any competent governmental, judicial or regulatory authority, or by a recognized stock exchange, or in response to a request from a regulatory body with a supervisory role over Recipient or any of its Affiliates"</t>
  </si>
  <si>
    <t xml:space="preserve">Recipient will (or, if Recipient's Representative is subject to the disclosure obligation, Recipient will procure that such Representative will), in each case to the extent permitted by law, regulation or the relevant authority: a) inform Discloser of the circumstances of the disclosure and the information that will be disclosed as soon as reasonably practicable</t>
  </si>
  <si>
    <t xml:space="preserve">receiving party ("Recipient") MUST ("will"): inform | object: "Discloser of the circumstances of the disclosure and the information that will be disclosed" | time: "as soon as reasonably practicable"  -- ONLY IF [to the extent permitted by law, regulation or the relevant authority]</t>
  </si>
  <si>
    <t xml:space="preserve">if Recipient's Representative is subject to the disclosure obligation, Recipient will procure that such Representative will</t>
  </si>
  <si>
    <t xml:space="preserve">receiving party ("Recipient") MUST ("will procure that"): inform | object: "Discloser of the circumstances of the disclosure and the information that will be disclosed" | time: "as soon as reasonably practicable"  -- ONLY IF [if Recipient's Representative is subject to the disclosure obligation] AND [to the extent permitted by law, regulation or the relevant authority]</t>
  </si>
  <si>
    <t xml:space="preserve">ret_8</t>
  </si>
  <si>
    <t xml:space="preserve">Receiver may disclose Confidential Information if the same: (d) becomes known to Receiver on a non-confidential basis from a source other than VIDAR without breach of this Agreement by Receiver</t>
  </si>
  <si>
    <t xml:space="preserve">receiving party ("Receiver") MAY ("may disclose"): disclose | object: "Confidential Information"  -- ONLY IF ([becomes known to Receiver] AND [on a non-confidential basis] AND [from a source other than VIDAR] AND [without breach of this Agreement by Receiver])</t>
  </si>
  <si>
    <t xml:space="preserve">ungrounded_ignored: (d); inferred_statement: meaning is implied rather than stated; a human should confirm</t>
  </si>
  <si>
    <t xml:space="preserve">becomes known to Receiver on a non-confidential basis from a source other than VIDAR without breach of this Agreement by Receiver</t>
  </si>
  <si>
    <t xml:space="preserve">receiving party ("Receiver") MAY ("becomes known to Receiver"): know ("becomes known") | object: "Confidential Information" | source: "from a source other than VIDAR" | manner: "on a non-confidential basis"  -- ONLY IF [without breach of this Agreement by Receiver]</t>
  </si>
  <si>
    <t xml:space="preserve">ret_11</t>
  </si>
  <si>
    <t xml:space="preserve">Receiving Party shall not use any Confidential Information for any purpose other than the purposes stated in Agreement.</t>
  </si>
  <si>
    <t xml:space="preserve">The data provided to MDHHS will be used only for purposes of the Michigan Trauma Registry, consistent with Part 209 of the Public Health Code and the Michigan Administrative Code R 325.125 through 325.138</t>
  </si>
  <si>
    <t xml:space="preserve">receiving party ("MDHHS") MUST NOT ("only for purposes of"): use ("used") | object: "the data provided" | purpose: "purposes of the Michigan Trauma Registry"  [scope: "consistent with Part 209 of the Public Health Code and the Michigan Administrative Code R 325.125 through 325.138"]</t>
  </si>
  <si>
    <t xml:space="preserve">statement_incomplete: words of this statement's own quote that none of its fields carry: will; unrepresented_words: content words not in any slot: will; inferred_statement: meaning is implied rather than stated; a human should confirm</t>
  </si>
  <si>
    <t xml:space="preserve">Use and disclose the data only in accordance with this Agreement, or as otherwise authorized by law</t>
  </si>
  <si>
    <t xml:space="preserve">receiving party MUST NOT ("only in accordance with"): use | object: "the data"  ;  disclose | object: "the data"  [agreement: "this Agreement"]  -- UNLESS [as otherwise authorized by law]</t>
  </si>
  <si>
    <t xml:space="preserve">Use appropriate safeguards to prevent the use or disclosure of the information other than as provided by this Agreement</t>
  </si>
  <si>
    <t xml:space="preserve">receiving party MUST ("Use"): use | object: "appropriate safeguards" | purpose: "to prevent the use or disclosure of the information other than as provided by this Agreement"</t>
  </si>
  <si>
    <t xml:space="preserve">receiving party MUST NOT ("prevent the use or disclosure of the information other than as provided by this Agreement"): use | object: "the information"  ;  disclose ("disclosure") | object: "the information"  -- UNLESS [as provided by this Agreement]</t>
  </si>
  <si>
    <t xml:space="preserve">Hypothesis (exact, from the dataset)</t>
  </si>
  <si>
    <t xml:space="preserve">Hypothesis translated, read back in English</t>
  </si>
  <si>
    <t xml:space="preserve">Narsese question sent to ONA</t>
  </si>
  <si>
    <t xml:space="preserve">receiving party ("Receiving Party") MAY ("may"): develop | object: "information similar to Confidential Information" | manner: "independently"</t>
  </si>
  <si>
    <t xml:space="preserve">&lt;(*, (*, ReceivingParty, develop), (*, object_InformationSimilarConfidentialInformation, manner_Independently)) --&gt; Permitted&gt;?</t>
  </si>
  <si>
    <t xml:space="preserve">receiving party ("Receiving Party") MAY ("may"): share | object: "some Confidential Information" | recipient: "some third-parties (including consultants, agents and professional advisors)"</t>
  </si>
  <si>
    <t xml:space="preserve">&lt;(*, (*, ReceivingParty, share), (*, object_SomeConfidentialInformation, recipient_ThirdParties)) --&gt; Permitted&gt;?</t>
  </si>
  <si>
    <t xml:space="preserve">receiving party ("Receiving Party") MAY ("may"): acquire | object: "information similar to Confidential Information" | source: "from a third party"</t>
  </si>
  <si>
    <t xml:space="preserve">&lt;(*, (*, ReceivingParty, acquire), (*, object_InformationSimilarConfidentialInformation, source_ThirdParty)) --&gt; Permitted&gt;?</t>
  </si>
  <si>
    <t xml:space="preserve">confidential info ("Confidential Information") INCLUDES: "verbally conveyed information"</t>
  </si>
  <si>
    <t xml:space="preserve">&lt;(*, ConfidentialInfo, item_VerballyConveyedInformation) --&gt; Includes&gt;?</t>
  </si>
  <si>
    <t xml:space="preserve">receiving party ("Receiving Party") MAY ("may"): retain | object: "some Confidential Information" | time: "even after the return or destruction of Confidential Information"</t>
  </si>
  <si>
    <t xml:space="preserve">&lt;(*, (*, ReceivingParty, retain), (*, object_SomeConfidentialInformation, time_AfterReturnOrDestruction)) --&gt; Permitted&gt;?</t>
  </si>
  <si>
    <t xml:space="preserve">confidential info ("Confidential Information") INCLUDES (exhaustive): "technical information"</t>
  </si>
  <si>
    <t xml:space="preserve">&lt;(*, ConfidentialInfo, item_TechnicalInformation) --&gt; OnlyIncludes&gt;?</t>
  </si>
  <si>
    <t xml:space="preserve">receiving party ("Receiving Party") MUST ("shall"): notify | object: "Disclosing Party"  -- ONLY IF ([Receiving Party is required by law] OR [Receiving Party is required by regulation] OR [Receiving Party is required by judicial process])</t>
  </si>
  <si>
    <t xml:space="preserve">&lt;(*, (*, ReceivingParty, notify), (*, object_DisclosingParty, &lt;ReceivingParty_whenOrRequiredByLawRequiredByReguRequiredByJudi --&gt; Holds&gt;)) --&gt; Obligated&gt;?</t>
  </si>
  <si>
    <t xml:space="preserve">receiving party ("Receiving Party") MUST NOT ("shall not"): use | object: "any Confidential Information" | purpose: "for any purpose"  -- UNLESS [other than the purposes stated in Agreement]</t>
  </si>
  <si>
    <t xml:space="preserve">&lt;(*, (*, ReceivingParty, use), (*, object_ConfidentialInformation, purpose_Purpose)) --&gt; Prohibited&gt;?</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</si>
</sst>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0"/>
      <color rgb="FFFFFFFF"/>
      <name val="Arial"/>
      <family val="0"/>
      <charset val="1"/>
    </font>
    <font>
      <i val="true"/>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2CC"/>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t="s">
        <v>9</v>
      </c>
    </row>
    <row r="12" customFormat="false" ht="15" hidden="false" customHeight="false" outlineLevel="0" collapsed="false">
      <c r="A12" s="2" t="s">
        <v>10</v>
      </c>
    </row>
    <row r="13" customFormat="false" ht="15" hidden="false" customHeight="false" outlineLevel="0" collapsed="false">
      <c r="A13" s="2" t="s">
        <v>11</v>
      </c>
    </row>
    <row r="14" customFormat="false" ht="15" hidden="false" customHeight="false" outlineLevel="0" collapsed="false">
      <c r="A14" s="2" t="s">
        <v>12</v>
      </c>
    </row>
    <row r="15" customFormat="false" ht="15" hidden="false" customHeight="false" outlineLevel="0" collapsed="false">
      <c r="A15" s="2" t="s">
        <v>13</v>
      </c>
    </row>
    <row r="16" customFormat="false" ht="15" hidden="false" customHeight="false" outlineLevel="0" collapsed="false">
      <c r="A16" s="2" t="s">
        <v>14</v>
      </c>
    </row>
    <row r="17" customFormat="false" ht="15" hidden="false" customHeight="false" outlineLevel="0" collapsed="false">
      <c r="A17" s="2" t="s">
        <v>15</v>
      </c>
    </row>
    <row r="18" customFormat="false" ht="15" hidden="false" customHeight="false" outlineLevel="0" collapsed="false">
      <c r="A18" s="2"/>
    </row>
    <row r="19" customFormat="false" ht="15" hidden="false" customHeight="false" outlineLevel="0" collapsed="false">
      <c r="A19" s="3" t="s">
        <v>16</v>
      </c>
    </row>
    <row r="20" customFormat="false" ht="15" hidden="false" customHeight="false" outlineLevel="0" collapsed="false">
      <c r="A20" s="2" t="s">
        <v>17</v>
      </c>
    </row>
    <row r="21" customFormat="false" ht="15" hidden="false" customHeight="false" outlineLevel="0" collapsed="false">
      <c r="A21" s="2" t="s">
        <v>18</v>
      </c>
    </row>
    <row r="22" customFormat="false" ht="15" hidden="false" customHeight="false" outlineLevel="0" collapsed="false">
      <c r="A22" s="2" t="s">
        <v>19</v>
      </c>
    </row>
    <row r="23" customFormat="false" ht="15" hidden="false" customHeight="false" outlineLevel="0" collapsed="false">
      <c r="A23" s="2"/>
    </row>
    <row r="24" customFormat="false" ht="15" hidden="false" customHeight="false" outlineLevel="0" collapsed="false">
      <c r="A24" s="2"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5" min="2" style="0" width="14"/>
  </cols>
  <sheetData>
    <row r="1" customFormat="false" ht="15" hidden="false" customHeight="false" outlineLevel="0" collapsed="false">
      <c r="A1" s="4" t="s">
        <v>21</v>
      </c>
    </row>
    <row r="3" customFormat="false" ht="15" hidden="false" customHeight="false" outlineLevel="0" collapsed="false">
      <c r="A3" s="5" t="s">
        <v>22</v>
      </c>
      <c r="B3" s="5" t="s">
        <v>23</v>
      </c>
      <c r="C3" s="5" t="s">
        <v>24</v>
      </c>
      <c r="D3" s="5" t="s">
        <v>25</v>
      </c>
      <c r="E3" s="5" t="s">
        <v>26</v>
      </c>
    </row>
    <row r="4" customFormat="false" ht="15" hidden="false" customHeight="false" outlineLevel="0" collapsed="false">
      <c r="A4" s="6" t="s">
        <v>27</v>
      </c>
      <c r="B4" s="6" t="n">
        <f aca="false">COUNTIF('Clause check'!F2:F35,"Y")</f>
        <v>0</v>
      </c>
      <c r="C4" s="6" t="n">
        <f aca="false">COUNTIF('Clause check'!F2:F35,"N")</f>
        <v>0</v>
      </c>
      <c r="D4" s="6" t="n">
        <f aca="false">B4+C4</f>
        <v>0</v>
      </c>
      <c r="E4" s="7" t="str">
        <f aca="false">IF(D4=0,"",B4/D4)</f>
        <v/>
      </c>
    </row>
    <row r="5" customFormat="false" ht="15" hidden="false" customHeight="false" outlineLevel="0" collapsed="false">
      <c r="A5" s="6" t="s">
        <v>28</v>
      </c>
      <c r="B5" s="6" t="n">
        <f aca="false">COUNTIF('Clause check'!G2:G35,"Y")</f>
        <v>0</v>
      </c>
      <c r="C5" s="6" t="n">
        <f aca="false">COUNTIF('Clause check'!G2:G35,"N")</f>
        <v>0</v>
      </c>
      <c r="D5" s="6" t="n">
        <f aca="false">B5+C5</f>
        <v>0</v>
      </c>
      <c r="E5" s="7" t="str">
        <f aca="false">IF(D5=0,"",B5/D5)</f>
        <v/>
      </c>
    </row>
    <row r="6" customFormat="false" ht="15" hidden="false" customHeight="false" outlineLevel="0" collapsed="false">
      <c r="A6" s="6" t="s">
        <v>29</v>
      </c>
      <c r="B6" s="6" t="n">
        <f aca="false">COUNTIF('Clause check'!H2:H35,"Y")</f>
        <v>0</v>
      </c>
      <c r="C6" s="6" t="n">
        <f aca="false">COUNTIF('Clause check'!H2:H35,"N")</f>
        <v>0</v>
      </c>
      <c r="D6" s="6" t="n">
        <f aca="false">B6+C6</f>
        <v>0</v>
      </c>
      <c r="E6" s="7" t="str">
        <f aca="false">IF(D6=0,"",B6/D6)</f>
        <v/>
      </c>
    </row>
    <row r="7" customFormat="false" ht="15" hidden="false" customHeight="false" outlineLevel="0" collapsed="false">
      <c r="A7" s="6" t="s">
        <v>30</v>
      </c>
      <c r="B7" s="6" t="n">
        <f aca="false">COUNTIF('Clause check'!I2:I35,"Y")</f>
        <v>0</v>
      </c>
      <c r="C7" s="6" t="n">
        <f aca="false">COUNTIF('Clause check'!I2:I35,"N")</f>
        <v>0</v>
      </c>
      <c r="D7" s="6" t="n">
        <f aca="false">B7+C7</f>
        <v>0</v>
      </c>
      <c r="E7" s="7" t="str">
        <f aca="false">IF(D7=0,"",B7/D7)</f>
        <v/>
      </c>
    </row>
    <row r="8" customFormat="false" ht="15" hidden="false" customHeight="false" outlineLevel="0" collapsed="false">
      <c r="A8" s="6" t="s">
        <v>31</v>
      </c>
      <c r="B8" s="6" t="n">
        <f aca="false">COUNTIF('Clause check'!J2:J35,"Y")</f>
        <v>0</v>
      </c>
      <c r="C8" s="6" t="n">
        <f aca="false">COUNTIF('Clause check'!J2:J35,"N")</f>
        <v>0</v>
      </c>
      <c r="D8" s="6" t="n">
        <f aca="false">B8+C8</f>
        <v>0</v>
      </c>
      <c r="E8" s="7" t="str">
        <f aca="false">IF(D8=0,"",B8/D8)</f>
        <v/>
      </c>
    </row>
    <row r="9" customFormat="false" ht="15" hidden="false" customHeight="false" outlineLevel="0" collapsed="false">
      <c r="A9" s="6" t="s">
        <v>32</v>
      </c>
      <c r="B9" s="6" t="n">
        <f aca="false">COUNTIF('Clause check'!K2:K35,"Y")</f>
        <v>0</v>
      </c>
      <c r="C9" s="6" t="n">
        <f aca="false">COUNTIF('Clause check'!K2:K35,"N")</f>
        <v>0</v>
      </c>
      <c r="D9" s="6" t="n">
        <f aca="false">B9+C9</f>
        <v>0</v>
      </c>
      <c r="E9" s="7" t="str">
        <f aca="false">IF(D9=0,"",B9/D9)</f>
        <v/>
      </c>
    </row>
    <row r="10" customFormat="false" ht="15" hidden="false" customHeight="false" outlineLevel="0" collapsed="false">
      <c r="A10" s="6" t="s">
        <v>33</v>
      </c>
      <c r="B10" s="6" t="n">
        <f aca="false">COUNTIF('Clause check'!L2:L35,"Y")</f>
        <v>0</v>
      </c>
      <c r="C10" s="6" t="n">
        <f aca="false">COUNTIF('Clause check'!L2:L35,"N")</f>
        <v>0</v>
      </c>
      <c r="D10" s="6" t="n">
        <f aca="false">B10+C10</f>
        <v>0</v>
      </c>
      <c r="E10" s="7" t="str">
        <f aca="false">IF(D10=0,"",B10/D10)</f>
        <v/>
      </c>
    </row>
    <row r="11" customFormat="false" ht="15" hidden="false" customHeight="false" outlineLevel="0" collapsed="false">
      <c r="A11" s="6" t="s">
        <v>34</v>
      </c>
      <c r="B11" s="6" t="n">
        <f aca="false">COUNTIF('Clause check'!M2:M35,"Y")</f>
        <v>0</v>
      </c>
      <c r="C11" s="6" t="n">
        <f aca="false">COUNTIF('Clause check'!M2:M35,"N")</f>
        <v>0</v>
      </c>
      <c r="D11" s="6" t="n">
        <f aca="false">B11+C11</f>
        <v>0</v>
      </c>
      <c r="E11" s="7" t="str">
        <f aca="false">IF(D11=0,"",B11/D11)</f>
        <v/>
      </c>
    </row>
    <row r="13" customFormat="false" ht="15" hidden="false" customHeight="false" outlineLevel="0" collapsed="false">
      <c r="A13" s="8" t="s">
        <v>35</v>
      </c>
      <c r="B13" s="8" t="n">
        <f aca="false">COUNTA('Clause check'!A2:A35)</f>
        <v>34</v>
      </c>
    </row>
    <row r="14" customFormat="false" ht="15" hidden="false" customHeight="false" outlineLevel="0" collapsed="false">
      <c r="A14" s="8" t="s">
        <v>36</v>
      </c>
      <c r="B14" s="8" t="n">
        <f aca="false">COUNTIF('Clause check'!N2:N35,"OK")+COUNTIF('Clause check'!N2:N35,"FIX")</f>
        <v>0</v>
      </c>
    </row>
    <row r="15" customFormat="false" ht="15" hidden="false" customHeight="false" outlineLevel="0" collapsed="false">
      <c r="A15" s="8" t="s">
        <v>37</v>
      </c>
      <c r="B15" s="8" t="n">
        <f aca="false">COUNTIF('Clause check'!N2:N35,"OK")</f>
        <v>0</v>
      </c>
    </row>
    <row r="16" customFormat="false" ht="15" hidden="false" customHeight="false" outlineLevel="0" collapsed="false">
      <c r="A16" s="8" t="s">
        <v>38</v>
      </c>
      <c r="B16" s="9" t="str">
        <f aca="false">IF(B14=0,"",B15/B14)</f>
        <v/>
      </c>
    </row>
    <row r="17" customFormat="false" ht="15" hidden="false" customHeight="false" outlineLevel="0" collapsed="false">
      <c r="A17" s="8" t="s">
        <v>39</v>
      </c>
      <c r="B17" s="8" t="n">
        <f aca="false">COUNTIF('Hypothesis check'!L2:L15,"OK")+COUNTIF('Hypothesis check'!L2:L15,"FIX")</f>
        <v>0</v>
      </c>
    </row>
    <row r="18" customFormat="false" ht="15" hidden="false" customHeight="false" outlineLevel="0" collapsed="false">
      <c r="A18" s="8" t="s">
        <v>40</v>
      </c>
      <c r="B18" s="8" t="n">
        <f aca="false">COUNTIF('Hypothesis check'!L2:L15,"OK")</f>
        <v>0</v>
      </c>
    </row>
    <row r="19" customFormat="false" ht="15" hidden="false" customHeight="false" outlineLevel="0" collapsed="false">
      <c r="A19" s="8" t="s">
        <v>41</v>
      </c>
      <c r="B19" s="9" t="str">
        <f aca="false">IF(B17=0,"",B18/B17)</f>
        <v/>
      </c>
    </row>
    <row r="21" customFormat="false" ht="15" hidden="false" customHeight="false" outlineLevel="0" collapsed="false">
      <c r="A21" s="10"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34"/>
    <col collapsed="false" customWidth="true" hidden="false" outlineLevel="0" max="5" min="4" style="0" width="60"/>
    <col collapsed="false" customWidth="true" hidden="false" outlineLevel="0" max="8" min="6" style="0" width="8"/>
    <col collapsed="false" customWidth="true" hidden="false" outlineLevel="0" max="9" min="9" style="0" width="9"/>
    <col collapsed="false" customWidth="true" hidden="false" outlineLevel="0" max="11" min="10" style="0" width="10"/>
    <col collapsed="false" customWidth="true" hidden="false" outlineLevel="0" max="13" min="12" style="0" width="9"/>
    <col collapsed="false" customWidth="true" hidden="false" outlineLevel="0" max="14" min="14" style="0" width="8"/>
    <col collapsed="false" customWidth="true" hidden="false" outlineLevel="0" max="16" min="15" style="0" width="36"/>
  </cols>
  <sheetData>
    <row r="1" customFormat="false" ht="31.5" hidden="false" customHeight="true" outlineLevel="0" collapsed="false">
      <c r="A1" s="11" t="s">
        <v>43</v>
      </c>
      <c r="B1" s="11" t="s">
        <v>44</v>
      </c>
      <c r="C1" s="11" t="s">
        <v>45</v>
      </c>
      <c r="D1" s="11" t="s">
        <v>46</v>
      </c>
      <c r="E1" s="11" t="s">
        <v>47</v>
      </c>
      <c r="F1" s="11" t="s">
        <v>27</v>
      </c>
      <c r="G1" s="11" t="s">
        <v>28</v>
      </c>
      <c r="H1" s="11" t="s">
        <v>29</v>
      </c>
      <c r="I1" s="11" t="s">
        <v>30</v>
      </c>
      <c r="J1" s="11" t="s">
        <v>31</v>
      </c>
      <c r="K1" s="11" t="s">
        <v>32</v>
      </c>
      <c r="L1" s="11" t="s">
        <v>33</v>
      </c>
      <c r="M1" s="11" t="s">
        <v>34</v>
      </c>
      <c r="N1" s="11" t="s">
        <v>48</v>
      </c>
      <c r="O1" s="11" t="s">
        <v>49</v>
      </c>
      <c r="P1" s="11" t="s">
        <v>50</v>
      </c>
    </row>
    <row r="2" customFormat="false" ht="46.25" hidden="false" customHeight="false" outlineLevel="0" collapsed="false">
      <c r="A2" s="12" t="s">
        <v>51</v>
      </c>
      <c r="B2" s="12" t="n">
        <v>0</v>
      </c>
      <c r="C2" s="12" t="s">
        <v>52</v>
      </c>
      <c r="D2" s="12" t="s">
        <v>53</v>
      </c>
      <c r="E2" s="12" t="s">
        <v>54</v>
      </c>
      <c r="F2" s="13"/>
      <c r="G2" s="13"/>
      <c r="H2" s="13"/>
      <c r="I2" s="13"/>
      <c r="J2" s="13"/>
      <c r="K2" s="13"/>
      <c r="L2" s="13"/>
      <c r="M2" s="13"/>
      <c r="N2" s="14" t="str">
        <f aca="false">IF(COUNTBLANK(F2:M2)&gt;0,"",IF(COUNTIF(F2:M2,"N")=0,"OK","FIX"))</f>
        <v/>
      </c>
      <c r="O2" s="15"/>
      <c r="P2" s="12"/>
    </row>
    <row r="3" customFormat="false" ht="57.45" hidden="false" customHeight="false" outlineLevel="0" collapsed="false">
      <c r="A3" s="12" t="s">
        <v>55</v>
      </c>
      <c r="B3" s="12" t="n">
        <v>0</v>
      </c>
      <c r="C3" s="12" t="s">
        <v>56</v>
      </c>
      <c r="D3" s="12" t="s">
        <v>57</v>
      </c>
      <c r="E3" s="12" t="s">
        <v>58</v>
      </c>
      <c r="F3" s="13"/>
      <c r="G3" s="13"/>
      <c r="H3" s="13"/>
      <c r="I3" s="13"/>
      <c r="J3" s="13"/>
      <c r="K3" s="13"/>
      <c r="L3" s="13"/>
      <c r="M3" s="13"/>
      <c r="N3" s="14" t="str">
        <f aca="false">IF(COUNTBLANK(F3:M3)&gt;0,"",IF(COUNTIF(F3:M3,"N")=0,"OK","FIX"))</f>
        <v/>
      </c>
      <c r="O3" s="15"/>
      <c r="P3" s="12"/>
    </row>
    <row r="4" customFormat="false" ht="79.85" hidden="false" customHeight="false" outlineLevel="0" collapsed="false">
      <c r="A4" s="12" t="s">
        <v>55</v>
      </c>
      <c r="B4" s="12" t="n">
        <v>1</v>
      </c>
      <c r="C4" s="12" t="s">
        <v>56</v>
      </c>
      <c r="D4" s="12" t="s">
        <v>59</v>
      </c>
      <c r="E4" s="12" t="s">
        <v>60</v>
      </c>
      <c r="F4" s="13"/>
      <c r="G4" s="13"/>
      <c r="H4" s="13"/>
      <c r="I4" s="13"/>
      <c r="J4" s="13"/>
      <c r="K4" s="13"/>
      <c r="L4" s="13"/>
      <c r="M4" s="13"/>
      <c r="N4" s="14" t="str">
        <f aca="false">IF(COUNTBLANK(F4:M4)&gt;0,"",IF(COUNTIF(F4:M4,"N")=0,"OK","FIX"))</f>
        <v/>
      </c>
      <c r="O4" s="15"/>
      <c r="P4" s="12"/>
    </row>
    <row r="5" customFormat="false" ht="57.45" hidden="false" customHeight="false" outlineLevel="0" collapsed="false">
      <c r="A5" s="12" t="s">
        <v>61</v>
      </c>
      <c r="B5" s="12" t="n">
        <v>0</v>
      </c>
      <c r="C5" s="12" t="s">
        <v>62</v>
      </c>
      <c r="D5" s="12" t="s">
        <v>63</v>
      </c>
      <c r="E5" s="12" t="s">
        <v>64</v>
      </c>
      <c r="F5" s="13"/>
      <c r="G5" s="13"/>
      <c r="H5" s="13"/>
      <c r="I5" s="13"/>
      <c r="J5" s="13"/>
      <c r="K5" s="13"/>
      <c r="L5" s="13"/>
      <c r="M5" s="13"/>
      <c r="N5" s="14" t="str">
        <f aca="false">IF(COUNTBLANK(F5:M5)&gt;0,"",IF(COUNTIF(F5:M5,"N")=0,"OK","FIX"))</f>
        <v/>
      </c>
      <c r="O5" s="15"/>
      <c r="P5" s="12" t="s">
        <v>65</v>
      </c>
    </row>
    <row r="6" customFormat="false" ht="102.2" hidden="false" customHeight="false" outlineLevel="0" collapsed="false">
      <c r="A6" s="12" t="s">
        <v>66</v>
      </c>
      <c r="B6" s="12" t="n">
        <v>0</v>
      </c>
      <c r="C6" s="12" t="s">
        <v>67</v>
      </c>
      <c r="D6" s="12" t="s">
        <v>68</v>
      </c>
      <c r="E6" s="12" t="s">
        <v>69</v>
      </c>
      <c r="F6" s="13"/>
      <c r="G6" s="13"/>
      <c r="H6" s="13"/>
      <c r="I6" s="13"/>
      <c r="J6" s="13"/>
      <c r="K6" s="13"/>
      <c r="L6" s="13"/>
      <c r="M6" s="13"/>
      <c r="N6" s="14" t="str">
        <f aca="false">IF(COUNTBLANK(F6:M6)&gt;0,"",IF(COUNTIF(F6:M6,"N")=0,"OK","FIX"))</f>
        <v/>
      </c>
      <c r="O6" s="15"/>
      <c r="P6" s="12" t="s">
        <v>70</v>
      </c>
    </row>
    <row r="7" customFormat="false" ht="79.85" hidden="false" customHeight="false" outlineLevel="0" collapsed="false">
      <c r="A7" s="12" t="s">
        <v>66</v>
      </c>
      <c r="B7" s="12" t="n">
        <v>1</v>
      </c>
      <c r="C7" s="12" t="s">
        <v>67</v>
      </c>
      <c r="D7" s="12" t="s">
        <v>71</v>
      </c>
      <c r="E7" s="12" t="s">
        <v>72</v>
      </c>
      <c r="F7" s="13"/>
      <c r="G7" s="13"/>
      <c r="H7" s="13"/>
      <c r="I7" s="13"/>
      <c r="J7" s="13"/>
      <c r="K7" s="13"/>
      <c r="L7" s="13"/>
      <c r="M7" s="13"/>
      <c r="N7" s="14" t="str">
        <f aca="false">IF(COUNTBLANK(F7:M7)&gt;0,"",IF(COUNTIF(F7:M7,"N")=0,"OK","FIX"))</f>
        <v/>
      </c>
      <c r="O7" s="15"/>
      <c r="P7" s="12"/>
    </row>
    <row r="8" customFormat="false" ht="46.25" hidden="false" customHeight="false" outlineLevel="0" collapsed="false">
      <c r="A8" s="12" t="s">
        <v>73</v>
      </c>
      <c r="B8" s="12" t="n">
        <v>0</v>
      </c>
      <c r="C8" s="12" t="s">
        <v>56</v>
      </c>
      <c r="D8" s="12" t="s">
        <v>74</v>
      </c>
      <c r="E8" s="12" t="s">
        <v>75</v>
      </c>
      <c r="F8" s="13"/>
      <c r="G8" s="13"/>
      <c r="H8" s="13"/>
      <c r="I8" s="13"/>
      <c r="J8" s="13"/>
      <c r="K8" s="13"/>
      <c r="L8" s="13"/>
      <c r="M8" s="13"/>
      <c r="N8" s="14" t="str">
        <f aca="false">IF(COUNTBLANK(F8:M8)&gt;0,"",IF(COUNTIF(F8:M8,"N")=0,"OK","FIX"))</f>
        <v/>
      </c>
      <c r="O8" s="15"/>
      <c r="P8" s="12"/>
    </row>
    <row r="9" customFormat="false" ht="46.25" hidden="false" customHeight="false" outlineLevel="0" collapsed="false">
      <c r="A9" s="12" t="s">
        <v>73</v>
      </c>
      <c r="B9" s="12" t="n">
        <v>1</v>
      </c>
      <c r="C9" s="12" t="s">
        <v>56</v>
      </c>
      <c r="D9" s="12" t="s">
        <v>76</v>
      </c>
      <c r="E9" s="12" t="s">
        <v>77</v>
      </c>
      <c r="F9" s="13"/>
      <c r="G9" s="13"/>
      <c r="H9" s="13"/>
      <c r="I9" s="13"/>
      <c r="J9" s="13"/>
      <c r="K9" s="13"/>
      <c r="L9" s="13"/>
      <c r="M9" s="13"/>
      <c r="N9" s="14" t="str">
        <f aca="false">IF(COUNTBLANK(F9:M9)&gt;0,"",IF(COUNTIF(F9:M9,"N")=0,"OK","FIX"))</f>
        <v/>
      </c>
      <c r="O9" s="15"/>
      <c r="P9" s="12"/>
    </row>
    <row r="10" customFormat="false" ht="91" hidden="false" customHeight="false" outlineLevel="0" collapsed="false">
      <c r="A10" s="12" t="s">
        <v>78</v>
      </c>
      <c r="B10" s="12" t="n">
        <v>0</v>
      </c>
      <c r="C10" s="12" t="s">
        <v>62</v>
      </c>
      <c r="D10" s="12" t="s">
        <v>79</v>
      </c>
      <c r="E10" s="12" t="s">
        <v>80</v>
      </c>
      <c r="F10" s="13"/>
      <c r="G10" s="13"/>
      <c r="H10" s="13"/>
      <c r="I10" s="13"/>
      <c r="J10" s="13"/>
      <c r="K10" s="13"/>
      <c r="L10" s="13"/>
      <c r="M10" s="13"/>
      <c r="N10" s="14" t="str">
        <f aca="false">IF(COUNTBLANK(F10:M10)&gt;0,"",IF(COUNTIF(F10:M10,"N")=0,"OK","FIX"))</f>
        <v/>
      </c>
      <c r="O10" s="15"/>
      <c r="P10" s="12" t="s">
        <v>81</v>
      </c>
    </row>
    <row r="11" customFormat="false" ht="35.05" hidden="false" customHeight="false" outlineLevel="0" collapsed="false">
      <c r="A11" s="12" t="s">
        <v>78</v>
      </c>
      <c r="B11" s="12" t="n">
        <v>1</v>
      </c>
      <c r="C11" s="12" t="s">
        <v>62</v>
      </c>
      <c r="D11" s="12" t="s">
        <v>82</v>
      </c>
      <c r="E11" s="12" t="s">
        <v>83</v>
      </c>
      <c r="F11" s="13"/>
      <c r="G11" s="13"/>
      <c r="H11" s="13"/>
      <c r="I11" s="13"/>
      <c r="J11" s="13"/>
      <c r="K11" s="13"/>
      <c r="L11" s="13"/>
      <c r="M11" s="13"/>
      <c r="N11" s="14" t="str">
        <f aca="false">IF(COUNTBLANK(F11:M11)&gt;0,"",IF(COUNTIF(F11:M11,"N")=0,"OK","FIX"))</f>
        <v/>
      </c>
      <c r="O11" s="15"/>
      <c r="P11" s="12"/>
    </row>
    <row r="12" customFormat="false" ht="35.05" hidden="false" customHeight="false" outlineLevel="0" collapsed="false">
      <c r="A12" s="12" t="s">
        <v>78</v>
      </c>
      <c r="B12" s="12" t="n">
        <v>2</v>
      </c>
      <c r="C12" s="12" t="s">
        <v>62</v>
      </c>
      <c r="D12" s="12" t="s">
        <v>82</v>
      </c>
      <c r="E12" s="12" t="s">
        <v>84</v>
      </c>
      <c r="F12" s="13"/>
      <c r="G12" s="13"/>
      <c r="H12" s="13"/>
      <c r="I12" s="13"/>
      <c r="J12" s="13"/>
      <c r="K12" s="13"/>
      <c r="L12" s="13"/>
      <c r="M12" s="13"/>
      <c r="N12" s="14" t="str">
        <f aca="false">IF(COUNTBLANK(F12:M12)&gt;0,"",IF(COUNTIF(F12:M12,"N")=0,"OK","FIX"))</f>
        <v/>
      </c>
      <c r="O12" s="15"/>
      <c r="P12" s="12"/>
    </row>
    <row r="13" customFormat="false" ht="124.6" hidden="false" customHeight="false" outlineLevel="0" collapsed="false">
      <c r="A13" s="12" t="s">
        <v>85</v>
      </c>
      <c r="B13" s="12" t="n">
        <v>0</v>
      </c>
      <c r="C13" s="12" t="s">
        <v>86</v>
      </c>
      <c r="D13" s="12" t="s">
        <v>87</v>
      </c>
      <c r="E13" s="12" t="s">
        <v>88</v>
      </c>
      <c r="F13" s="13"/>
      <c r="G13" s="13"/>
      <c r="H13" s="13"/>
      <c r="I13" s="13"/>
      <c r="J13" s="13"/>
      <c r="K13" s="13"/>
      <c r="L13" s="13"/>
      <c r="M13" s="13"/>
      <c r="N13" s="14" t="str">
        <f aca="false">IF(COUNTBLANK(F13:M13)&gt;0,"",IF(COUNTIF(F13:M13,"N")=0,"OK","FIX"))</f>
        <v/>
      </c>
      <c r="O13" s="15"/>
      <c r="P13" s="12" t="s">
        <v>89</v>
      </c>
    </row>
    <row r="14" customFormat="false" ht="46.25" hidden="false" customHeight="false" outlineLevel="0" collapsed="false">
      <c r="A14" s="12" t="s">
        <v>85</v>
      </c>
      <c r="B14" s="12" t="n">
        <v>1</v>
      </c>
      <c r="C14" s="12" t="s">
        <v>86</v>
      </c>
      <c r="D14" s="12" t="s">
        <v>90</v>
      </c>
      <c r="E14" s="12" t="s">
        <v>91</v>
      </c>
      <c r="F14" s="13"/>
      <c r="G14" s="13"/>
      <c r="H14" s="13"/>
      <c r="I14" s="13"/>
      <c r="J14" s="13"/>
      <c r="K14" s="13"/>
      <c r="L14" s="13"/>
      <c r="M14" s="13"/>
      <c r="N14" s="14" t="str">
        <f aca="false">IF(COUNTBLANK(F14:M14)&gt;0,"",IF(COUNTIF(F14:M14,"N")=0,"OK","FIX"))</f>
        <v/>
      </c>
      <c r="O14" s="15"/>
      <c r="P14" s="12"/>
    </row>
    <row r="15" customFormat="false" ht="35.05" hidden="false" customHeight="false" outlineLevel="0" collapsed="false">
      <c r="A15" s="12" t="s">
        <v>92</v>
      </c>
      <c r="B15" s="12" t="n">
        <v>0</v>
      </c>
      <c r="C15" s="12" t="s">
        <v>52</v>
      </c>
      <c r="D15" s="12" t="s">
        <v>93</v>
      </c>
      <c r="E15" s="12" t="s">
        <v>94</v>
      </c>
      <c r="F15" s="13"/>
      <c r="G15" s="13"/>
      <c r="H15" s="13"/>
      <c r="I15" s="13"/>
      <c r="J15" s="13"/>
      <c r="K15" s="13"/>
      <c r="L15" s="13"/>
      <c r="M15" s="13"/>
      <c r="N15" s="14" t="str">
        <f aca="false">IF(COUNTBLANK(F15:M15)&gt;0,"",IF(COUNTIF(F15:M15,"N")=0,"OK","FIX"))</f>
        <v/>
      </c>
      <c r="O15" s="15"/>
      <c r="P15" s="12" t="s">
        <v>95</v>
      </c>
    </row>
    <row r="16" customFormat="false" ht="35.05" hidden="false" customHeight="false" outlineLevel="0" collapsed="false">
      <c r="A16" s="12" t="s">
        <v>92</v>
      </c>
      <c r="B16" s="12" t="n">
        <v>1</v>
      </c>
      <c r="C16" s="12" t="s">
        <v>52</v>
      </c>
      <c r="D16" s="12" t="s">
        <v>96</v>
      </c>
      <c r="E16" s="12" t="s">
        <v>97</v>
      </c>
      <c r="F16" s="13"/>
      <c r="G16" s="13"/>
      <c r="H16" s="13"/>
      <c r="I16" s="13"/>
      <c r="J16" s="13"/>
      <c r="K16" s="13"/>
      <c r="L16" s="13"/>
      <c r="M16" s="13"/>
      <c r="N16" s="14" t="str">
        <f aca="false">IF(COUNTBLANK(F16:M16)&gt;0,"",IF(COUNTIF(F16:M16,"N")=0,"OK","FIX"))</f>
        <v/>
      </c>
      <c r="O16" s="15"/>
      <c r="P16" s="12"/>
    </row>
    <row r="17" customFormat="false" ht="35.05" hidden="false" customHeight="false" outlineLevel="0" collapsed="false">
      <c r="A17" s="12" t="s">
        <v>92</v>
      </c>
      <c r="B17" s="12" t="n">
        <v>2</v>
      </c>
      <c r="C17" s="12" t="s">
        <v>52</v>
      </c>
      <c r="D17" s="12" t="s">
        <v>98</v>
      </c>
      <c r="E17" s="12" t="s">
        <v>99</v>
      </c>
      <c r="F17" s="13"/>
      <c r="G17" s="13"/>
      <c r="H17" s="13"/>
      <c r="I17" s="13"/>
      <c r="J17" s="13"/>
      <c r="K17" s="13"/>
      <c r="L17" s="13"/>
      <c r="M17" s="13"/>
      <c r="N17" s="14" t="str">
        <f aca="false">IF(COUNTBLANK(F17:M17)&gt;0,"",IF(COUNTIF(F17:M17,"N")=0,"OK","FIX"))</f>
        <v/>
      </c>
      <c r="O17" s="15"/>
      <c r="P17" s="12"/>
    </row>
    <row r="18" customFormat="false" ht="35.05" hidden="false" customHeight="false" outlineLevel="0" collapsed="false">
      <c r="A18" s="12" t="s">
        <v>92</v>
      </c>
      <c r="B18" s="12" t="n">
        <v>3</v>
      </c>
      <c r="C18" s="12" t="s">
        <v>52</v>
      </c>
      <c r="D18" s="12" t="s">
        <v>100</v>
      </c>
      <c r="E18" s="12" t="s">
        <v>101</v>
      </c>
      <c r="F18" s="13"/>
      <c r="G18" s="13"/>
      <c r="H18" s="13"/>
      <c r="I18" s="13"/>
      <c r="J18" s="13"/>
      <c r="K18" s="13"/>
      <c r="L18" s="13"/>
      <c r="M18" s="13"/>
      <c r="N18" s="14" t="str">
        <f aca="false">IF(COUNTBLANK(F18:M18)&gt;0,"",IF(COUNTIF(F18:M18,"N")=0,"OK","FIX"))</f>
        <v/>
      </c>
      <c r="O18" s="15"/>
      <c r="P18" s="12"/>
    </row>
    <row r="19" customFormat="false" ht="35.05" hidden="false" customHeight="false" outlineLevel="0" collapsed="false">
      <c r="A19" s="12" t="s">
        <v>92</v>
      </c>
      <c r="B19" s="12" t="n">
        <v>4</v>
      </c>
      <c r="C19" s="12" t="s">
        <v>52</v>
      </c>
      <c r="D19" s="12" t="s">
        <v>102</v>
      </c>
      <c r="E19" s="12" t="s">
        <v>103</v>
      </c>
      <c r="F19" s="13"/>
      <c r="G19" s="13"/>
      <c r="H19" s="13"/>
      <c r="I19" s="13"/>
      <c r="J19" s="13"/>
      <c r="K19" s="13"/>
      <c r="L19" s="13"/>
      <c r="M19" s="13"/>
      <c r="N19" s="14" t="str">
        <f aca="false">IF(COUNTBLANK(F19:M19)&gt;0,"",IF(COUNTIF(F19:M19,"N")=0,"OK","FIX"))</f>
        <v/>
      </c>
      <c r="O19" s="15"/>
      <c r="P19" s="12"/>
    </row>
    <row r="20" customFormat="false" ht="57.45" hidden="false" customHeight="false" outlineLevel="0" collapsed="false">
      <c r="A20" s="12" t="s">
        <v>104</v>
      </c>
      <c r="B20" s="12" t="n">
        <v>0</v>
      </c>
      <c r="C20" s="12" t="s">
        <v>105</v>
      </c>
      <c r="D20" s="12" t="s">
        <v>106</v>
      </c>
      <c r="E20" s="12" t="s">
        <v>107</v>
      </c>
      <c r="F20" s="13"/>
      <c r="G20" s="13"/>
      <c r="H20" s="13"/>
      <c r="I20" s="13"/>
      <c r="J20" s="13"/>
      <c r="K20" s="13"/>
      <c r="L20" s="13"/>
      <c r="M20" s="13"/>
      <c r="N20" s="14" t="str">
        <f aca="false">IF(COUNTBLANK(F20:M20)&gt;0,"",IF(COUNTIF(F20:M20,"N")=0,"OK","FIX"))</f>
        <v/>
      </c>
      <c r="O20" s="15"/>
      <c r="P20" s="12" t="s">
        <v>108</v>
      </c>
    </row>
    <row r="21" customFormat="false" ht="124.6" hidden="false" customHeight="false" outlineLevel="0" collapsed="false">
      <c r="A21" s="12" t="s">
        <v>104</v>
      </c>
      <c r="B21" s="12" t="n">
        <v>1</v>
      </c>
      <c r="C21" s="12" t="s">
        <v>105</v>
      </c>
      <c r="D21" s="12" t="s">
        <v>109</v>
      </c>
      <c r="E21" s="12" t="s">
        <v>110</v>
      </c>
      <c r="F21" s="13"/>
      <c r="G21" s="13"/>
      <c r="H21" s="13"/>
      <c r="I21" s="13"/>
      <c r="J21" s="13"/>
      <c r="K21" s="13"/>
      <c r="L21" s="13"/>
      <c r="M21" s="13"/>
      <c r="N21" s="14" t="str">
        <f aca="false">IF(COUNTBLANK(F21:M21)&gt;0,"",IF(COUNTIF(F21:M21,"N")=0,"OK","FIX"))</f>
        <v/>
      </c>
      <c r="O21" s="15"/>
      <c r="P21" s="12"/>
    </row>
    <row r="22" customFormat="false" ht="57.45" hidden="false" customHeight="false" outlineLevel="0" collapsed="false">
      <c r="A22" s="12" t="s">
        <v>104</v>
      </c>
      <c r="B22" s="12" t="n">
        <v>2</v>
      </c>
      <c r="C22" s="12" t="s">
        <v>105</v>
      </c>
      <c r="D22" s="12" t="s">
        <v>111</v>
      </c>
      <c r="E22" s="12" t="s">
        <v>112</v>
      </c>
      <c r="F22" s="13"/>
      <c r="G22" s="13"/>
      <c r="H22" s="13"/>
      <c r="I22" s="13"/>
      <c r="J22" s="13"/>
      <c r="K22" s="13"/>
      <c r="L22" s="13"/>
      <c r="M22" s="13"/>
      <c r="N22" s="14" t="str">
        <f aca="false">IF(COUNTBLANK(F22:M22)&gt;0,"",IF(COUNTIF(F22:M22,"N")=0,"OK","FIX"))</f>
        <v/>
      </c>
      <c r="O22" s="15"/>
      <c r="P22" s="12"/>
    </row>
    <row r="23" customFormat="false" ht="79.85" hidden="false" customHeight="false" outlineLevel="0" collapsed="false">
      <c r="A23" s="12" t="s">
        <v>113</v>
      </c>
      <c r="B23" s="12" t="n">
        <v>0</v>
      </c>
      <c r="C23" s="12" t="s">
        <v>105</v>
      </c>
      <c r="D23" s="12" t="s">
        <v>114</v>
      </c>
      <c r="E23" s="12" t="s">
        <v>115</v>
      </c>
      <c r="F23" s="13"/>
      <c r="G23" s="13"/>
      <c r="H23" s="13"/>
      <c r="I23" s="13"/>
      <c r="J23" s="13"/>
      <c r="K23" s="13"/>
      <c r="L23" s="13"/>
      <c r="M23" s="13"/>
      <c r="N23" s="14" t="str">
        <f aca="false">IF(COUNTBLANK(F23:M23)&gt;0,"",IF(COUNTIF(F23:M23,"N")=0,"OK","FIX"))</f>
        <v/>
      </c>
      <c r="O23" s="15"/>
      <c r="P23" s="12"/>
    </row>
    <row r="24" customFormat="false" ht="135.8" hidden="false" customHeight="false" outlineLevel="0" collapsed="false">
      <c r="A24" s="12" t="s">
        <v>116</v>
      </c>
      <c r="B24" s="12" t="n">
        <v>0</v>
      </c>
      <c r="C24" s="12" t="s">
        <v>105</v>
      </c>
      <c r="D24" s="12" t="s">
        <v>117</v>
      </c>
      <c r="E24" s="12" t="s">
        <v>118</v>
      </c>
      <c r="F24" s="13"/>
      <c r="G24" s="13"/>
      <c r="H24" s="13"/>
      <c r="I24" s="13"/>
      <c r="J24" s="13"/>
      <c r="K24" s="13"/>
      <c r="L24" s="13"/>
      <c r="M24" s="13"/>
      <c r="N24" s="14" t="str">
        <f aca="false">IF(COUNTBLANK(F24:M24)&gt;0,"",IF(COUNTIF(F24:M24,"N")=0,"OK","FIX"))</f>
        <v/>
      </c>
      <c r="O24" s="15"/>
      <c r="P24" s="12" t="s">
        <v>119</v>
      </c>
    </row>
    <row r="25" customFormat="false" ht="68.65" hidden="false" customHeight="false" outlineLevel="0" collapsed="false">
      <c r="A25" s="12" t="s">
        <v>116</v>
      </c>
      <c r="B25" s="12" t="n">
        <v>1</v>
      </c>
      <c r="C25" s="12" t="s">
        <v>105</v>
      </c>
      <c r="D25" s="12" t="s">
        <v>120</v>
      </c>
      <c r="E25" s="12" t="s">
        <v>121</v>
      </c>
      <c r="F25" s="13"/>
      <c r="G25" s="13"/>
      <c r="H25" s="13"/>
      <c r="I25" s="13"/>
      <c r="J25" s="13"/>
      <c r="K25" s="13"/>
      <c r="L25" s="13"/>
      <c r="M25" s="13"/>
      <c r="N25" s="14" t="str">
        <f aca="false">IF(COUNTBLANK(F25:M25)&gt;0,"",IF(COUNTIF(F25:M25,"N")=0,"OK","FIX"))</f>
        <v/>
      </c>
      <c r="O25" s="15"/>
      <c r="P25" s="12"/>
    </row>
    <row r="26" customFormat="false" ht="68.65" hidden="false" customHeight="false" outlineLevel="0" collapsed="false">
      <c r="A26" s="12" t="s">
        <v>122</v>
      </c>
      <c r="B26" s="12" t="n">
        <v>0</v>
      </c>
      <c r="C26" s="12" t="s">
        <v>123</v>
      </c>
      <c r="D26" s="12" t="s">
        <v>124</v>
      </c>
      <c r="E26" s="12" t="s">
        <v>125</v>
      </c>
      <c r="F26" s="13"/>
      <c r="G26" s="13"/>
      <c r="H26" s="13"/>
      <c r="I26" s="13"/>
      <c r="J26" s="13"/>
      <c r="K26" s="13"/>
      <c r="L26" s="13"/>
      <c r="M26" s="13"/>
      <c r="N26" s="14" t="str">
        <f aca="false">IF(COUNTBLANK(F26:M26)&gt;0,"",IF(COUNTIF(F26:M26,"N")=0,"OK","FIX"))</f>
        <v/>
      </c>
      <c r="O26" s="15"/>
      <c r="P26" s="12" t="s">
        <v>126</v>
      </c>
    </row>
    <row r="27" customFormat="false" ht="68.65" hidden="false" customHeight="false" outlineLevel="0" collapsed="false">
      <c r="A27" s="12" t="s">
        <v>122</v>
      </c>
      <c r="B27" s="12" t="n">
        <v>1</v>
      </c>
      <c r="C27" s="12" t="s">
        <v>123</v>
      </c>
      <c r="D27" s="12" t="s">
        <v>127</v>
      </c>
      <c r="E27" s="12" t="s">
        <v>128</v>
      </c>
      <c r="F27" s="13"/>
      <c r="G27" s="13"/>
      <c r="H27" s="13"/>
      <c r="I27" s="13"/>
      <c r="J27" s="13"/>
      <c r="K27" s="13"/>
      <c r="L27" s="13"/>
      <c r="M27" s="13"/>
      <c r="N27" s="14" t="str">
        <f aca="false">IF(COUNTBLANK(F27:M27)&gt;0,"",IF(COUNTIF(F27:M27,"N")=0,"OK","FIX"))</f>
        <v/>
      </c>
      <c r="O27" s="15"/>
      <c r="P27" s="12"/>
    </row>
    <row r="28" customFormat="false" ht="57.45" hidden="false" customHeight="false" outlineLevel="0" collapsed="false">
      <c r="A28" s="12" t="s">
        <v>122</v>
      </c>
      <c r="B28" s="12" t="n">
        <v>2</v>
      </c>
      <c r="C28" s="12" t="s">
        <v>123</v>
      </c>
      <c r="D28" s="12" t="s">
        <v>129</v>
      </c>
      <c r="E28" s="12" t="s">
        <v>130</v>
      </c>
      <c r="F28" s="13"/>
      <c r="G28" s="13"/>
      <c r="H28" s="13"/>
      <c r="I28" s="13"/>
      <c r="J28" s="13"/>
      <c r="K28" s="13"/>
      <c r="L28" s="13"/>
      <c r="M28" s="13"/>
      <c r="N28" s="14" t="str">
        <f aca="false">IF(COUNTBLANK(F28:M28)&gt;0,"",IF(COUNTIF(F28:M28,"N")=0,"OK","FIX"))</f>
        <v/>
      </c>
      <c r="O28" s="15"/>
      <c r="P28" s="12"/>
    </row>
    <row r="29" customFormat="false" ht="57.45" hidden="false" customHeight="false" outlineLevel="0" collapsed="false">
      <c r="A29" s="12" t="s">
        <v>122</v>
      </c>
      <c r="B29" s="12" t="n">
        <v>3</v>
      </c>
      <c r="C29" s="12" t="s">
        <v>123</v>
      </c>
      <c r="D29" s="12" t="s">
        <v>131</v>
      </c>
      <c r="E29" s="12" t="s">
        <v>132</v>
      </c>
      <c r="F29" s="13"/>
      <c r="G29" s="13"/>
      <c r="H29" s="13"/>
      <c r="I29" s="13"/>
      <c r="J29" s="13"/>
      <c r="K29" s="13"/>
      <c r="L29" s="13"/>
      <c r="M29" s="13"/>
      <c r="N29" s="14" t="str">
        <f aca="false">IF(COUNTBLANK(F29:M29)&gt;0,"",IF(COUNTIF(F29:M29,"N")=0,"OK","FIX"))</f>
        <v/>
      </c>
      <c r="O29" s="15"/>
      <c r="P29" s="12"/>
    </row>
    <row r="30" customFormat="false" ht="46.25" hidden="false" customHeight="false" outlineLevel="0" collapsed="false">
      <c r="A30" s="12" t="s">
        <v>133</v>
      </c>
      <c r="B30" s="12" t="n">
        <v>0</v>
      </c>
      <c r="C30" s="12" t="s">
        <v>62</v>
      </c>
      <c r="D30" s="12" t="s">
        <v>134</v>
      </c>
      <c r="E30" s="12" t="s">
        <v>135</v>
      </c>
      <c r="F30" s="13"/>
      <c r="G30" s="13"/>
      <c r="H30" s="13"/>
      <c r="I30" s="13"/>
      <c r="J30" s="13"/>
      <c r="K30" s="13"/>
      <c r="L30" s="13"/>
      <c r="M30" s="13"/>
      <c r="N30" s="14" t="str">
        <f aca="false">IF(COUNTBLANK(F30:M30)&gt;0,"",IF(COUNTIF(F30:M30,"N")=0,"OK","FIX"))</f>
        <v/>
      </c>
      <c r="O30" s="15"/>
      <c r="P30" s="12" t="s">
        <v>136</v>
      </c>
    </row>
    <row r="31" customFormat="false" ht="46.25" hidden="false" customHeight="false" outlineLevel="0" collapsed="false">
      <c r="A31" s="12" t="s">
        <v>133</v>
      </c>
      <c r="B31" s="12" t="n">
        <v>1</v>
      </c>
      <c r="C31" s="12" t="s">
        <v>62</v>
      </c>
      <c r="D31" s="12" t="s">
        <v>137</v>
      </c>
      <c r="E31" s="12" t="s">
        <v>138</v>
      </c>
      <c r="F31" s="13"/>
      <c r="G31" s="13"/>
      <c r="H31" s="13"/>
      <c r="I31" s="13"/>
      <c r="J31" s="13"/>
      <c r="K31" s="13"/>
      <c r="L31" s="13"/>
      <c r="M31" s="13"/>
      <c r="N31" s="14" t="str">
        <f aca="false">IF(COUNTBLANK(F31:M31)&gt;0,"",IF(COUNTIF(F31:M31,"N")=0,"OK","FIX"))</f>
        <v/>
      </c>
      <c r="O31" s="15"/>
      <c r="P31" s="12"/>
    </row>
    <row r="32" customFormat="false" ht="68.65" hidden="false" customHeight="false" outlineLevel="0" collapsed="false">
      <c r="A32" s="12" t="s">
        <v>139</v>
      </c>
      <c r="B32" s="12" t="n">
        <v>0</v>
      </c>
      <c r="C32" s="12" t="s">
        <v>140</v>
      </c>
      <c r="D32" s="12" t="s">
        <v>141</v>
      </c>
      <c r="E32" s="12" t="s">
        <v>142</v>
      </c>
      <c r="F32" s="13"/>
      <c r="G32" s="13"/>
      <c r="H32" s="13"/>
      <c r="I32" s="13"/>
      <c r="J32" s="13"/>
      <c r="K32" s="13"/>
      <c r="L32" s="13"/>
      <c r="M32" s="13"/>
      <c r="N32" s="14" t="str">
        <f aca="false">IF(COUNTBLANK(F32:M32)&gt;0,"",IF(COUNTIF(F32:M32,"N")=0,"OK","FIX"))</f>
        <v/>
      </c>
      <c r="O32" s="15"/>
      <c r="P32" s="12" t="s">
        <v>143</v>
      </c>
    </row>
    <row r="33" customFormat="false" ht="46.25" hidden="false" customHeight="false" outlineLevel="0" collapsed="false">
      <c r="A33" s="12" t="s">
        <v>139</v>
      </c>
      <c r="B33" s="12" t="n">
        <v>1</v>
      </c>
      <c r="C33" s="12" t="s">
        <v>140</v>
      </c>
      <c r="D33" s="12" t="s">
        <v>144</v>
      </c>
      <c r="E33" s="12" t="s">
        <v>145</v>
      </c>
      <c r="F33" s="13"/>
      <c r="G33" s="13"/>
      <c r="H33" s="13"/>
      <c r="I33" s="13"/>
      <c r="J33" s="13"/>
      <c r="K33" s="13"/>
      <c r="L33" s="13"/>
      <c r="M33" s="13"/>
      <c r="N33" s="14" t="str">
        <f aca="false">IF(COUNTBLANK(F33:M33)&gt;0,"",IF(COUNTIF(F33:M33,"N")=0,"OK","FIX"))</f>
        <v/>
      </c>
      <c r="O33" s="15"/>
      <c r="P33" s="12"/>
    </row>
    <row r="34" customFormat="false" ht="46.25" hidden="false" customHeight="false" outlineLevel="0" collapsed="false">
      <c r="A34" s="12" t="s">
        <v>139</v>
      </c>
      <c r="B34" s="12" t="n">
        <v>2</v>
      </c>
      <c r="C34" s="12" t="s">
        <v>140</v>
      </c>
      <c r="D34" s="12" t="s">
        <v>146</v>
      </c>
      <c r="E34" s="12" t="s">
        <v>147</v>
      </c>
      <c r="F34" s="13"/>
      <c r="G34" s="13"/>
      <c r="H34" s="13"/>
      <c r="I34" s="13"/>
      <c r="J34" s="13"/>
      <c r="K34" s="13"/>
      <c r="L34" s="13"/>
      <c r="M34" s="13"/>
      <c r="N34" s="14" t="str">
        <f aca="false">IF(COUNTBLANK(F34:M34)&gt;0,"",IF(COUNTIF(F34:M34,"N")=0,"OK","FIX"))</f>
        <v/>
      </c>
      <c r="O34" s="15"/>
      <c r="P34" s="12"/>
    </row>
    <row r="35" customFormat="false" ht="46.25" hidden="false" customHeight="false" outlineLevel="0" collapsed="false">
      <c r="A35" s="12" t="s">
        <v>139</v>
      </c>
      <c r="B35" s="12" t="n">
        <v>3</v>
      </c>
      <c r="C35" s="12" t="s">
        <v>140</v>
      </c>
      <c r="D35" s="12" t="s">
        <v>146</v>
      </c>
      <c r="E35" s="12" t="s">
        <v>148</v>
      </c>
      <c r="F35" s="13"/>
      <c r="G35" s="13"/>
      <c r="H35" s="13"/>
      <c r="I35" s="13"/>
      <c r="J35" s="13"/>
      <c r="K35" s="13"/>
      <c r="L35" s="13"/>
      <c r="M35" s="13"/>
      <c r="N35" s="14" t="str">
        <f aca="false">IF(COUNTBLANK(F35:M35)&gt;0,"",IF(COUNTIF(F35:M35,"N")=0,"OK","FIX"))</f>
        <v/>
      </c>
      <c r="O35" s="15"/>
      <c r="P35" s="12"/>
    </row>
  </sheetData>
  <autoFilter ref="A1:P35"/>
  <dataValidations count="1">
    <dataValidation allowBlank="true" errorStyle="stop" operator="between" showDropDown="false" showErrorMessage="false" showInputMessage="false" sqref="F2:M35" type="list">
      <formula1>"Y,N,NA"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0"/>
    <col collapsed="false" customWidth="true" hidden="false" outlineLevel="0" max="3" min="3" style="0" width="55"/>
    <col collapsed="false" customWidth="true" hidden="false" outlineLevel="0" max="4" min="4" style="0" width="70"/>
    <col collapsed="false" customWidth="true" hidden="false" outlineLevel="0" max="7" min="5" style="0" width="8"/>
    <col collapsed="false" customWidth="true" hidden="false" outlineLevel="0" max="8" min="8" style="0" width="9"/>
    <col collapsed="false" customWidth="true" hidden="false" outlineLevel="0" max="9" min="9" style="0" width="10"/>
    <col collapsed="false" customWidth="true" hidden="false" outlineLevel="0" max="11" min="10" style="0" width="9"/>
    <col collapsed="false" customWidth="true" hidden="false" outlineLevel="0" max="12" min="12" style="0" width="8"/>
    <col collapsed="false" customWidth="true" hidden="false" outlineLevel="0" max="13" min="13" style="0" width="36"/>
  </cols>
  <sheetData>
    <row r="1" customFormat="false" ht="31.5" hidden="false" customHeight="true" outlineLevel="0" collapsed="false">
      <c r="A1" s="11" t="s">
        <v>43</v>
      </c>
      <c r="B1" s="11" t="s">
        <v>149</v>
      </c>
      <c r="C1" s="11" t="s">
        <v>150</v>
      </c>
      <c r="D1" s="11" t="s">
        <v>151</v>
      </c>
      <c r="E1" s="11" t="s">
        <v>27</v>
      </c>
      <c r="F1" s="11" t="s">
        <v>28</v>
      </c>
      <c r="G1" s="11" t="s">
        <v>29</v>
      </c>
      <c r="H1" s="11" t="s">
        <v>30</v>
      </c>
      <c r="I1" s="11" t="s">
        <v>31</v>
      </c>
      <c r="J1" s="11" t="s">
        <v>33</v>
      </c>
      <c r="K1" s="11" t="s">
        <v>34</v>
      </c>
      <c r="L1" s="11" t="s">
        <v>48</v>
      </c>
      <c r="M1" s="11" t="s">
        <v>49</v>
      </c>
    </row>
    <row r="2" customFormat="false" ht="35.05" hidden="false" customHeight="false" outlineLevel="0" collapsed="false">
      <c r="A2" s="12" t="s">
        <v>51</v>
      </c>
      <c r="B2" s="12" t="s">
        <v>52</v>
      </c>
      <c r="C2" s="12" t="s">
        <v>152</v>
      </c>
      <c r="D2" s="12" t="s">
        <v>153</v>
      </c>
      <c r="E2" s="13"/>
      <c r="F2" s="13"/>
      <c r="G2" s="13"/>
      <c r="H2" s="13"/>
      <c r="I2" s="13"/>
      <c r="J2" s="13"/>
      <c r="K2" s="13"/>
      <c r="L2" s="14" t="str">
        <f aca="false">IF(COUNTBLANK(E2:K2)&gt;0,"",IF(COUNTIF(E2:K2,"N")=0,"OK","FIX"))</f>
        <v/>
      </c>
      <c r="M2" s="15"/>
    </row>
    <row r="3" customFormat="false" ht="35.05" hidden="false" customHeight="false" outlineLevel="0" collapsed="false">
      <c r="A3" s="12" t="s">
        <v>55</v>
      </c>
      <c r="B3" s="12" t="s">
        <v>56</v>
      </c>
      <c r="C3" s="12" t="s">
        <v>154</v>
      </c>
      <c r="D3" s="12" t="s">
        <v>155</v>
      </c>
      <c r="E3" s="13"/>
      <c r="F3" s="13"/>
      <c r="G3" s="13"/>
      <c r="H3" s="13"/>
      <c r="I3" s="13"/>
      <c r="J3" s="13"/>
      <c r="K3" s="13"/>
      <c r="L3" s="14" t="str">
        <f aca="false">IF(COUNTBLANK(E3:K3)&gt;0,"",IF(COUNTIF(E3:K3,"N")=0,"OK","FIX"))</f>
        <v/>
      </c>
      <c r="M3" s="15"/>
    </row>
    <row r="4" customFormat="false" ht="35.05" hidden="false" customHeight="false" outlineLevel="0" collapsed="false">
      <c r="A4" s="12" t="s">
        <v>61</v>
      </c>
      <c r="B4" s="12" t="s">
        <v>62</v>
      </c>
      <c r="C4" s="12" t="s">
        <v>156</v>
      </c>
      <c r="D4" s="12" t="s">
        <v>157</v>
      </c>
      <c r="E4" s="13"/>
      <c r="F4" s="13"/>
      <c r="G4" s="13"/>
      <c r="H4" s="13"/>
      <c r="I4" s="13"/>
      <c r="J4" s="13"/>
      <c r="K4" s="13"/>
      <c r="L4" s="14" t="str">
        <f aca="false">IF(COUNTBLANK(E4:K4)&gt;0,"",IF(COUNTIF(E4:K4,"N")=0,"OK","FIX"))</f>
        <v/>
      </c>
      <c r="M4" s="15"/>
    </row>
    <row r="5" customFormat="false" ht="23.85" hidden="false" customHeight="false" outlineLevel="0" collapsed="false">
      <c r="A5" s="12" t="s">
        <v>66</v>
      </c>
      <c r="B5" s="12" t="s">
        <v>67</v>
      </c>
      <c r="C5" s="12" t="s">
        <v>158</v>
      </c>
      <c r="D5" s="12" t="s">
        <v>159</v>
      </c>
      <c r="E5" s="13"/>
      <c r="F5" s="13"/>
      <c r="G5" s="13"/>
      <c r="H5" s="13"/>
      <c r="I5" s="13"/>
      <c r="J5" s="13"/>
      <c r="K5" s="13"/>
      <c r="L5" s="14" t="str">
        <f aca="false">IF(COUNTBLANK(E5:K5)&gt;0,"",IF(COUNTIF(E5:K5,"N")=0,"OK","FIX"))</f>
        <v/>
      </c>
      <c r="M5" s="15"/>
    </row>
    <row r="6" customFormat="false" ht="35.05" hidden="false" customHeight="false" outlineLevel="0" collapsed="false">
      <c r="A6" s="12" t="s">
        <v>73</v>
      </c>
      <c r="B6" s="12" t="s">
        <v>56</v>
      </c>
      <c r="C6" s="12" t="s">
        <v>154</v>
      </c>
      <c r="D6" s="12" t="s">
        <v>155</v>
      </c>
      <c r="E6" s="13"/>
      <c r="F6" s="13"/>
      <c r="G6" s="13"/>
      <c r="H6" s="13"/>
      <c r="I6" s="13"/>
      <c r="J6" s="13"/>
      <c r="K6" s="13"/>
      <c r="L6" s="14" t="str">
        <f aca="false">IF(COUNTBLANK(E6:K6)&gt;0,"",IF(COUNTIF(E6:K6,"N")=0,"OK","FIX"))</f>
        <v/>
      </c>
      <c r="M6" s="15"/>
    </row>
    <row r="7" customFormat="false" ht="35.05" hidden="false" customHeight="false" outlineLevel="0" collapsed="false">
      <c r="A7" s="12" t="s">
        <v>78</v>
      </c>
      <c r="B7" s="12" t="s">
        <v>62</v>
      </c>
      <c r="C7" s="12" t="s">
        <v>156</v>
      </c>
      <c r="D7" s="12" t="s">
        <v>157</v>
      </c>
      <c r="E7" s="13"/>
      <c r="F7" s="13"/>
      <c r="G7" s="13"/>
      <c r="H7" s="13"/>
      <c r="I7" s="13"/>
      <c r="J7" s="13"/>
      <c r="K7" s="13"/>
      <c r="L7" s="14" t="str">
        <f aca="false">IF(COUNTBLANK(E7:K7)&gt;0,"",IF(COUNTIF(E7:K7,"N")=0,"OK","FIX"))</f>
        <v/>
      </c>
      <c r="M7" s="15"/>
    </row>
    <row r="8" customFormat="false" ht="35.05" hidden="false" customHeight="false" outlineLevel="0" collapsed="false">
      <c r="A8" s="12" t="s">
        <v>85</v>
      </c>
      <c r="B8" s="12" t="s">
        <v>86</v>
      </c>
      <c r="C8" s="12" t="s">
        <v>160</v>
      </c>
      <c r="D8" s="12" t="s">
        <v>161</v>
      </c>
      <c r="E8" s="13"/>
      <c r="F8" s="13"/>
      <c r="G8" s="13"/>
      <c r="H8" s="13"/>
      <c r="I8" s="13"/>
      <c r="J8" s="13"/>
      <c r="K8" s="13"/>
      <c r="L8" s="14" t="str">
        <f aca="false">IF(COUNTBLANK(E8:K8)&gt;0,"",IF(COUNTIF(E8:K8,"N")=0,"OK","FIX"))</f>
        <v/>
      </c>
      <c r="M8" s="15"/>
    </row>
    <row r="9" customFormat="false" ht="35.05" hidden="false" customHeight="false" outlineLevel="0" collapsed="false">
      <c r="A9" s="12" t="s">
        <v>92</v>
      </c>
      <c r="B9" s="12" t="s">
        <v>52</v>
      </c>
      <c r="C9" s="12" t="s">
        <v>152</v>
      </c>
      <c r="D9" s="12" t="s">
        <v>153</v>
      </c>
      <c r="E9" s="13"/>
      <c r="F9" s="13"/>
      <c r="G9" s="13"/>
      <c r="H9" s="13"/>
      <c r="I9" s="13"/>
      <c r="J9" s="13"/>
      <c r="K9" s="13"/>
      <c r="L9" s="14" t="str">
        <f aca="false">IF(COUNTBLANK(E9:K9)&gt;0,"",IF(COUNTIF(E9:K9,"N")=0,"OK","FIX"))</f>
        <v/>
      </c>
      <c r="M9" s="15"/>
    </row>
    <row r="10" customFormat="false" ht="23.85" hidden="false" customHeight="false" outlineLevel="0" collapsed="false">
      <c r="A10" s="12" t="s">
        <v>104</v>
      </c>
      <c r="B10" s="12" t="s">
        <v>105</v>
      </c>
      <c r="C10" s="12" t="s">
        <v>162</v>
      </c>
      <c r="D10" s="12" t="s">
        <v>163</v>
      </c>
      <c r="E10" s="13"/>
      <c r="F10" s="13"/>
      <c r="G10" s="13"/>
      <c r="H10" s="13"/>
      <c r="I10" s="13"/>
      <c r="J10" s="13"/>
      <c r="K10" s="13"/>
      <c r="L10" s="14" t="str">
        <f aca="false">IF(COUNTBLANK(E10:K10)&gt;0,"",IF(COUNTIF(E10:K10,"N")=0,"OK","FIX"))</f>
        <v/>
      </c>
      <c r="M10" s="15"/>
    </row>
    <row r="11" customFormat="false" ht="23.85" hidden="false" customHeight="false" outlineLevel="0" collapsed="false">
      <c r="A11" s="12" t="s">
        <v>113</v>
      </c>
      <c r="B11" s="12" t="s">
        <v>105</v>
      </c>
      <c r="C11" s="12" t="s">
        <v>162</v>
      </c>
      <c r="D11" s="12" t="s">
        <v>163</v>
      </c>
      <c r="E11" s="13"/>
      <c r="F11" s="13"/>
      <c r="G11" s="13"/>
      <c r="H11" s="13"/>
      <c r="I11" s="13"/>
      <c r="J11" s="13"/>
      <c r="K11" s="13"/>
      <c r="L11" s="14" t="str">
        <f aca="false">IF(COUNTBLANK(E11:K11)&gt;0,"",IF(COUNTIF(E11:K11,"N")=0,"OK","FIX"))</f>
        <v/>
      </c>
      <c r="M11" s="15"/>
    </row>
    <row r="12" customFormat="false" ht="23.85" hidden="false" customHeight="false" outlineLevel="0" collapsed="false">
      <c r="A12" s="12" t="s">
        <v>116</v>
      </c>
      <c r="B12" s="12" t="s">
        <v>105</v>
      </c>
      <c r="C12" s="12" t="s">
        <v>162</v>
      </c>
      <c r="D12" s="12" t="s">
        <v>163</v>
      </c>
      <c r="E12" s="13"/>
      <c r="F12" s="13"/>
      <c r="G12" s="13"/>
      <c r="H12" s="13"/>
      <c r="I12" s="13"/>
      <c r="J12" s="13"/>
      <c r="K12" s="13"/>
      <c r="L12" s="14" t="str">
        <f aca="false">IF(COUNTBLANK(E12:K12)&gt;0,"",IF(COUNTIF(E12:K12,"N")=0,"OK","FIX"))</f>
        <v/>
      </c>
      <c r="M12" s="15"/>
    </row>
    <row r="13" customFormat="false" ht="46.25" hidden="false" customHeight="false" outlineLevel="0" collapsed="false">
      <c r="A13" s="12" t="s">
        <v>122</v>
      </c>
      <c r="B13" s="12" t="s">
        <v>123</v>
      </c>
      <c r="C13" s="12" t="s">
        <v>164</v>
      </c>
      <c r="D13" s="12" t="s">
        <v>165</v>
      </c>
      <c r="E13" s="13"/>
      <c r="F13" s="13"/>
      <c r="G13" s="13"/>
      <c r="H13" s="13"/>
      <c r="I13" s="13"/>
      <c r="J13" s="13"/>
      <c r="K13" s="13"/>
      <c r="L13" s="14" t="str">
        <f aca="false">IF(COUNTBLANK(E13:K13)&gt;0,"",IF(COUNTIF(E13:K13,"N")=0,"OK","FIX"))</f>
        <v/>
      </c>
      <c r="M13" s="15"/>
    </row>
    <row r="14" customFormat="false" ht="35.05" hidden="false" customHeight="false" outlineLevel="0" collapsed="false">
      <c r="A14" s="12" t="s">
        <v>133</v>
      </c>
      <c r="B14" s="12" t="s">
        <v>62</v>
      </c>
      <c r="C14" s="12" t="s">
        <v>156</v>
      </c>
      <c r="D14" s="12" t="s">
        <v>157</v>
      </c>
      <c r="E14" s="13"/>
      <c r="F14" s="13"/>
      <c r="G14" s="13"/>
      <c r="H14" s="13"/>
      <c r="I14" s="13"/>
      <c r="J14" s="13"/>
      <c r="K14" s="13"/>
      <c r="L14" s="14" t="str">
        <f aca="false">IF(COUNTBLANK(E14:K14)&gt;0,"",IF(COUNTIF(E14:K14,"N")=0,"OK","FIX"))</f>
        <v/>
      </c>
      <c r="M14" s="15"/>
    </row>
    <row r="15" customFormat="false" ht="35.05" hidden="false" customHeight="false" outlineLevel="0" collapsed="false">
      <c r="A15" s="12" t="s">
        <v>139</v>
      </c>
      <c r="B15" s="12" t="s">
        <v>140</v>
      </c>
      <c r="C15" s="12" t="s">
        <v>166</v>
      </c>
      <c r="D15" s="12" t="s">
        <v>167</v>
      </c>
      <c r="E15" s="13"/>
      <c r="F15" s="13"/>
      <c r="G15" s="13"/>
      <c r="H15" s="13"/>
      <c r="I15" s="13"/>
      <c r="J15" s="13"/>
      <c r="K15" s="13"/>
      <c r="L15" s="14" t="str">
        <f aca="false">IF(COUNTBLANK(E15:K15)&gt;0,"",IF(COUNTIF(E15:K15,"N")=0,"OK","FIX"))</f>
        <v/>
      </c>
      <c r="M15" s="15"/>
    </row>
  </sheetData>
  <dataValidations count="1">
    <dataValidation allowBlank="true" errorStyle="stop" operator="between" showDropDown="false" showErrorMessage="false" showInputMessage="false" sqref="E2:K15" type="list">
      <formula1>"Y,N,NA"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2026-10-26T17:50:17Z</dcterms:created>
  <dc:creator>openpyxl</dc:creator>
  <dc:description/>
  <dc:language>en-US</dc:language>
  <cp:lastModifiedBy/>
  <dcterms:modified xsi:type="dcterms:W3CDTF">2026-10-26T17:50:17Z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